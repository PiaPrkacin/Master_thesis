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storage.erasmusmc.nl\v\vcl13\MAGE\data\UserData\106836\current_ICL_SchiSTOP_snails_4_imm\"/>
    </mc:Choice>
  </mc:AlternateContent>
  <xr:revisionPtr revIDLastSave="0" documentId="13_ncr:1_{3CE9F4AF-2AA7-422B-8F59-06ABD4F3F7A7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G42" i="1"/>
  <c r="I2" i="1" l="1"/>
</calcChain>
</file>

<file path=xl/sharedStrings.xml><?xml version="1.0" encoding="utf-8"?>
<sst xmlns="http://schemas.openxmlformats.org/spreadsheetml/2006/main" count="397" uniqueCount="20">
  <si>
    <t xml:space="preserve">Endemicity </t>
  </si>
  <si>
    <t xml:space="preserve">Immunity </t>
  </si>
  <si>
    <t>Snails</t>
  </si>
  <si>
    <t>DDF</t>
  </si>
  <si>
    <t>Decay</t>
  </si>
  <si>
    <t>Snail prevalence</t>
  </si>
  <si>
    <t>Zeta_grid_search</t>
  </si>
  <si>
    <t>Kw</t>
  </si>
  <si>
    <t>Transmission on snails</t>
  </si>
  <si>
    <t>Equilibrium</t>
  </si>
  <si>
    <t>Bounce-back</t>
  </si>
  <si>
    <t>Age-intensity profiles</t>
  </si>
  <si>
    <t>Moderate</t>
  </si>
  <si>
    <t>Absent</t>
  </si>
  <si>
    <t>Strong</t>
  </si>
  <si>
    <t>Mild</t>
  </si>
  <si>
    <t>ICL</t>
  </si>
  <si>
    <t>High</t>
  </si>
  <si>
    <t>Very Strong</t>
  </si>
  <si>
    <t xml:space="preserve">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</si>
</sst>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E+00"/>
    <numFmt numFmtId="165" formatCode="0E+00"/>
    <numFmt numFmtId="166" formatCode="0.000"/>
    <numFmt numFmtId="167" formatCode="#,##0.00_-"/>
    <numFmt numFmtId="168" formatCode="0.00000"/>
    <numFmt numFmtId="169" formatCode="0.000000"/>
    <numFmt numFmtId="170" formatCode="0.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9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9" fontId="1" fillId="3" borderId="0" xfId="0" applyNumberFormat="1" applyFont="1" applyFill="1"/>
    <xf numFmtId="0" fontId="1" fillId="3" borderId="0" xfId="0" applyFont="1" applyFill="1"/>
    <xf numFmtId="9" fontId="1" fillId="4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1" fillId="0" borderId="0" xfId="0" applyFont="1"/>
    <xf numFmtId="9" fontId="1" fillId="5" borderId="0" xfId="0" applyNumberFormat="1" applyFont="1" applyFill="1"/>
    <xf numFmtId="0" fontId="1" fillId="5" borderId="0" xfId="0" applyFont="1" applyFill="1"/>
    <xf numFmtId="9" fontId="1" fillId="6" borderId="0" xfId="0" applyNumberFormat="1" applyFont="1" applyFill="1"/>
    <xf numFmtId="0" fontId="1" fillId="6" borderId="0" xfId="0" applyFont="1" applyFill="1"/>
    <xf numFmtId="165" fontId="1" fillId="6" borderId="0" xfId="0" applyNumberFormat="1" applyFont="1" applyFill="1"/>
    <xf numFmtId="0" fontId="0" fillId="0" borderId="0" xfId="0"/>
    <xf numFmtId="0" fontId="1" fillId="0" borderId="0" xfId="0" applyFont="1"/>
    <xf numFmtId="9" fontId="1" fillId="4" borderId="0" xfId="0" applyNumberFormat="1" applyFont="1" applyFill="1"/>
    <xf numFmtId="0" fontId="1" fillId="4" borderId="0" xfId="0" applyFont="1" applyFill="1"/>
    <xf numFmtId="9" fontId="1" fillId="2" borderId="0" xfId="0" applyNumberFormat="1" applyFont="1" applyFill="1"/>
    <xf numFmtId="0" fontId="1" fillId="2" borderId="0" xfId="0" applyFont="1" applyFill="1"/>
    <xf numFmtId="2" fontId="1" fillId="2" borderId="0" xfId="0" applyNumberFormat="1" applyFont="1" applyFill="1"/>
    <xf numFmtId="2" fontId="1" fillId="4" borderId="0" xfId="0" applyNumberFormat="1" applyFont="1" applyFill="1"/>
    <xf numFmtId="0" fontId="0" fillId="0" borderId="0" xfId="0"/>
    <xf numFmtId="0" fontId="1" fillId="0" borderId="0" xfId="0" applyFont="1"/>
    <xf numFmtId="9" fontId="1" fillId="6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  <xf numFmtId="9" fontId="1" fillId="3" borderId="0" xfId="0" applyNumberFormat="1" applyFont="1" applyFill="1"/>
    <xf numFmtId="0" fontId="1" fillId="3" borderId="0" xfId="0" applyFont="1" applyFill="1"/>
    <xf numFmtId="9" fontId="1" fillId="4" borderId="0" xfId="0" applyNumberFormat="1" applyFont="1" applyFill="1"/>
    <xf numFmtId="0" fontId="1" fillId="4" borderId="0" xfId="0" applyFont="1" applyFill="1"/>
    <xf numFmtId="2" fontId="1" fillId="4" borderId="0" xfId="0" applyNumberFormat="1" applyFont="1" applyFill="1"/>
    <xf numFmtId="0" fontId="0" fillId="0" borderId="0" xfId="0"/>
    <xf numFmtId="0" fontId="1" fillId="0" borderId="0" xfId="0" applyFont="1"/>
    <xf numFmtId="0" fontId="1" fillId="6" borderId="0" xfId="0" applyFont="1" applyFill="1"/>
    <xf numFmtId="2" fontId="1" fillId="6" borderId="0" xfId="0" applyNumberFormat="1" applyFont="1" applyFill="1"/>
    <xf numFmtId="0" fontId="1" fillId="5" borderId="0" xfId="0" applyFont="1" applyFill="1"/>
    <xf numFmtId="0" fontId="2" fillId="0" borderId="0" xfId="0" applyFont="1"/>
    <xf numFmtId="166" fontId="1" fillId="5" borderId="0" xfId="0" applyNumberFormat="1" applyFont="1" applyFill="1"/>
    <xf numFmtId="9" fontId="0" fillId="7" borderId="0" xfId="0" applyNumberFormat="1" applyFill="1"/>
    <xf numFmtId="0" fontId="0" fillId="7" borderId="0" xfId="0" applyFill="1"/>
    <xf numFmtId="0" fontId="0" fillId="9" borderId="0" xfId="0" applyFill="1"/>
    <xf numFmtId="167" fontId="1" fillId="6" borderId="0" xfId="0" applyNumberFormat="1" applyFont="1" applyFill="1"/>
    <xf numFmtId="9" fontId="0" fillId="9" borderId="0" xfId="0" applyNumberFormat="1" applyFill="1"/>
    <xf numFmtId="2" fontId="0" fillId="9" borderId="0" xfId="0" applyNumberFormat="1" applyFill="1"/>
    <xf numFmtId="168" fontId="0" fillId="9" borderId="0" xfId="0" applyNumberFormat="1" applyFill="1"/>
    <xf numFmtId="0" fontId="0" fillId="0" borderId="0" xfId="0"/>
    <xf numFmtId="0" fontId="0" fillId="8" borderId="0" xfId="0" applyFill="1"/>
    <xf numFmtId="9" fontId="0" fillId="8" borderId="0" xfId="0" applyNumberFormat="1" applyFill="1"/>
    <xf numFmtId="2" fontId="0" fillId="9" borderId="0" xfId="0" applyNumberFormat="1" applyFill="1"/>
    <xf numFmtId="0" fontId="0" fillId="7" borderId="0" xfId="0" applyFill="1"/>
    <xf numFmtId="9" fontId="0" fillId="7" borderId="0" xfId="0" applyNumberFormat="1" applyFill="1"/>
    <xf numFmtId="2" fontId="0" fillId="7" borderId="0" xfId="0" applyNumberFormat="1" applyFill="1"/>
    <xf numFmtId="0" fontId="0" fillId="0" borderId="0" xfId="0"/>
    <xf numFmtId="0" fontId="1" fillId="0" borderId="0" xfId="0" applyFont="1"/>
    <xf numFmtId="0" fontId="0" fillId="5" borderId="0" xfId="0" applyFill="1"/>
    <xf numFmtId="9" fontId="0" fillId="5" borderId="0" xfId="0" applyNumberFormat="1" applyFill="1"/>
    <xf numFmtId="0" fontId="0" fillId="0" borderId="0" xfId="0"/>
    <xf numFmtId="0" fontId="1" fillId="0" borderId="0" xfId="0" applyFont="1"/>
    <xf numFmtId="0" fontId="0" fillId="3" borderId="0" xfId="0" applyFill="1"/>
    <xf numFmtId="9" fontId="0" fillId="3" borderId="0" xfId="0" applyNumberFormat="1" applyFill="1"/>
    <xf numFmtId="0" fontId="0" fillId="10" borderId="0" xfId="0" applyFill="1"/>
    <xf numFmtId="0" fontId="1" fillId="10" borderId="0" xfId="0" applyFont="1" applyFill="1"/>
    <xf numFmtId="0" fontId="2" fillId="10" borderId="0" xfId="0" applyFont="1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0" fillId="2" borderId="0" xfId="0" applyFill="1"/>
    <xf numFmtId="0" fontId="4" fillId="0" borderId="0" xfId="0" applyFont="1"/>
    <xf numFmtId="9" fontId="0" fillId="11" borderId="0" xfId="0" applyNumberFormat="1" applyFill="1"/>
    <xf numFmtId="169" fontId="0" fillId="11" borderId="0" xfId="0" applyNumberFormat="1" applyFill="1"/>
    <xf numFmtId="2" fontId="0" fillId="11" borderId="0" xfId="0" applyNumberFormat="1" applyFill="1"/>
    <xf numFmtId="0" fontId="0" fillId="11" borderId="0" xfId="0" applyFill="1"/>
    <xf numFmtId="0" fontId="3" fillId="0" borderId="0" xfId="0" applyFont="1"/>
    <xf numFmtId="2" fontId="0" fillId="3" borderId="0" xfId="0" applyNumberFormat="1" applyFill="1"/>
    <xf numFmtId="0" fontId="0" fillId="5" borderId="0" xfId="0" applyFill="1"/>
    <xf numFmtId="0" fontId="0" fillId="5" borderId="0" xfId="0" applyFill="1"/>
    <xf numFmtId="0" fontId="0" fillId="8" borderId="0" xfId="0" applyFill="1"/>
    <xf numFmtId="0" fontId="0" fillId="5" borderId="0" xfId="0" applyFill="1"/>
    <xf numFmtId="17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topLeftCell="A64" workbookViewId="0">
      <selection activeCell="P29" sqref="P29"/>
    </sheetView>
  </sheetViews>
  <sheetFormatPr defaultRowHeight="14.5" x14ac:dyDescent="0.35"/>
  <cols>
    <col min="7" max="7" width="13.816406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4" x14ac:dyDescent="0.35">
      <c r="A2" s="36" t="s">
        <v>12</v>
      </c>
      <c r="B2" s="36" t="s">
        <v>13</v>
      </c>
      <c r="C2" s="36" t="s">
        <v>15</v>
      </c>
      <c r="D2" s="36" t="s">
        <v>13</v>
      </c>
      <c r="E2" s="41" t="s">
        <v>13</v>
      </c>
      <c r="F2" s="43">
        <v>0.05</v>
      </c>
      <c r="G2" s="44">
        <v>1.4500000000000001E-2</v>
      </c>
      <c r="H2" s="44">
        <v>0.15</v>
      </c>
      <c r="I2" s="44">
        <f>3*10^(-10)</f>
        <v>3E-10</v>
      </c>
      <c r="J2" s="37" t="b">
        <v>1</v>
      </c>
      <c r="K2" s="37" t="b">
        <v>1</v>
      </c>
      <c r="L2" s="37" t="b">
        <v>1</v>
      </c>
    </row>
    <row r="3" spans="1:24" x14ac:dyDescent="0.35">
      <c r="A3" s="2" t="s">
        <v>12</v>
      </c>
      <c r="B3" s="2" t="s">
        <v>13</v>
      </c>
      <c r="C3" s="2" t="s">
        <v>14</v>
      </c>
      <c r="D3" s="2" t="s">
        <v>13</v>
      </c>
      <c r="E3" s="3" t="s">
        <v>13</v>
      </c>
      <c r="F3" s="4">
        <v>0.05</v>
      </c>
      <c r="G3" s="5">
        <v>2.5919999999999999E-2</v>
      </c>
      <c r="H3" s="5">
        <v>0.15</v>
      </c>
      <c r="I3" s="6">
        <v>3.4999999999999998E-10</v>
      </c>
      <c r="J3" s="62" t="b">
        <v>1</v>
      </c>
      <c r="K3" s="62" t="b">
        <v>1</v>
      </c>
      <c r="L3" s="62" t="b">
        <v>1</v>
      </c>
    </row>
    <row r="4" spans="1:24" x14ac:dyDescent="0.35">
      <c r="A4" s="65" t="s">
        <v>12</v>
      </c>
      <c r="B4" s="65" t="s">
        <v>15</v>
      </c>
      <c r="C4" s="65" t="s">
        <v>13</v>
      </c>
      <c r="D4" s="65" t="s">
        <v>13</v>
      </c>
      <c r="E4" s="65" t="s">
        <v>13</v>
      </c>
      <c r="F4" s="64">
        <v>0</v>
      </c>
      <c r="G4" s="63">
        <v>1.07E-4</v>
      </c>
      <c r="H4" s="63">
        <v>0.15</v>
      </c>
      <c r="I4" s="63">
        <v>0</v>
      </c>
      <c r="J4" s="62" t="b">
        <v>1</v>
      </c>
      <c r="K4" s="62" t="b">
        <v>1</v>
      </c>
      <c r="L4" s="62" t="b">
        <v>1</v>
      </c>
    </row>
    <row r="5" spans="1:24" x14ac:dyDescent="0.35">
      <c r="A5" s="2" t="s">
        <v>12</v>
      </c>
      <c r="B5" s="61" t="s">
        <v>15</v>
      </c>
      <c r="C5" s="61" t="s">
        <v>15</v>
      </c>
      <c r="D5" s="61" t="s">
        <v>13</v>
      </c>
      <c r="E5" s="3" t="s">
        <v>13</v>
      </c>
      <c r="F5" s="7">
        <v>0</v>
      </c>
      <c r="G5" s="8">
        <v>1.7500000000000002E-2</v>
      </c>
      <c r="H5" s="8">
        <v>0.15</v>
      </c>
      <c r="I5" s="32">
        <v>3E-10</v>
      </c>
      <c r="J5" s="62" t="b">
        <v>1</v>
      </c>
      <c r="K5" s="62" t="b">
        <v>1</v>
      </c>
      <c r="L5" s="62" t="b">
        <v>1</v>
      </c>
    </row>
    <row r="6" spans="1:24" x14ac:dyDescent="0.35">
      <c r="A6" s="2" t="s">
        <v>12</v>
      </c>
      <c r="B6" s="61" t="s">
        <v>15</v>
      </c>
      <c r="C6" s="61" t="s">
        <v>14</v>
      </c>
      <c r="D6" s="61" t="s">
        <v>13</v>
      </c>
      <c r="E6" s="3" t="s">
        <v>13</v>
      </c>
      <c r="F6" s="9">
        <v>0.05</v>
      </c>
      <c r="G6" s="10">
        <v>3.5000000000000003E-2</v>
      </c>
      <c r="H6" s="10">
        <v>0.12</v>
      </c>
      <c r="I6" s="11">
        <v>3.4999999999999998E-10</v>
      </c>
      <c r="J6" s="62" t="b">
        <v>1</v>
      </c>
      <c r="K6" s="62" t="b">
        <v>1</v>
      </c>
      <c r="L6" s="62" t="b">
        <v>1</v>
      </c>
    </row>
    <row r="7" spans="1:24" x14ac:dyDescent="0.35">
      <c r="A7" t="s">
        <v>12</v>
      </c>
      <c r="B7" s="61" t="s">
        <v>15</v>
      </c>
      <c r="C7" s="61" t="s">
        <v>13</v>
      </c>
      <c r="D7" s="61" t="s">
        <v>13</v>
      </c>
      <c r="E7" s="58" t="s">
        <v>15</v>
      </c>
      <c r="F7" s="64">
        <v>0</v>
      </c>
      <c r="G7" s="63">
        <v>9.8999999999999994E-5</v>
      </c>
      <c r="H7" s="63">
        <v>0.15</v>
      </c>
      <c r="I7" s="63">
        <v>0</v>
      </c>
      <c r="J7" s="62" t="b">
        <v>1</v>
      </c>
      <c r="K7" s="62" t="b">
        <v>1</v>
      </c>
      <c r="L7" s="62" t="b">
        <v>1</v>
      </c>
    </row>
    <row r="8" spans="1:24" x14ac:dyDescent="0.35">
      <c r="A8" s="2" t="s">
        <v>12</v>
      </c>
      <c r="B8" s="61" t="s">
        <v>15</v>
      </c>
      <c r="C8" s="61" t="s">
        <v>15</v>
      </c>
      <c r="D8" s="61" t="s">
        <v>13</v>
      </c>
      <c r="E8" s="3" t="s">
        <v>15</v>
      </c>
      <c r="F8" s="31">
        <v>0</v>
      </c>
      <c r="G8" s="32">
        <v>1.6500000000000001E-2</v>
      </c>
      <c r="H8" s="32">
        <v>0.15</v>
      </c>
      <c r="I8" s="32">
        <v>3E-10</v>
      </c>
      <c r="J8" s="62" t="b">
        <v>1</v>
      </c>
      <c r="K8" s="62" t="b">
        <v>1</v>
      </c>
      <c r="L8" s="62" t="b">
        <v>1</v>
      </c>
    </row>
    <row r="9" spans="1:24" x14ac:dyDescent="0.35">
      <c r="A9" s="2" t="s">
        <v>12</v>
      </c>
      <c r="B9" s="61" t="s">
        <v>15</v>
      </c>
      <c r="C9" s="61" t="s">
        <v>14</v>
      </c>
      <c r="D9" s="61" t="s">
        <v>13</v>
      </c>
      <c r="E9" s="3" t="s">
        <v>15</v>
      </c>
      <c r="F9" s="9">
        <v>0.05</v>
      </c>
      <c r="G9" s="10">
        <v>3.3000000000000002E-2</v>
      </c>
      <c r="H9" s="10">
        <v>0.12</v>
      </c>
      <c r="I9" s="11">
        <v>3.4999999999999998E-10</v>
      </c>
      <c r="J9" s="62" t="b">
        <v>1</v>
      </c>
      <c r="K9" s="62" t="b">
        <v>1</v>
      </c>
      <c r="L9" s="62" t="b">
        <v>1</v>
      </c>
    </row>
    <row r="10" spans="1:24" x14ac:dyDescent="0.35">
      <c r="A10" t="s">
        <v>12</v>
      </c>
      <c r="B10" s="61" t="s">
        <v>15</v>
      </c>
      <c r="C10" s="61" t="s">
        <v>13</v>
      </c>
      <c r="D10" s="61" t="s">
        <v>13</v>
      </c>
      <c r="E10" s="58" t="s">
        <v>14</v>
      </c>
      <c r="F10" s="64">
        <v>0</v>
      </c>
      <c r="G10" s="63">
        <v>8.8999999999999995E-5</v>
      </c>
      <c r="H10" s="63">
        <v>0.15</v>
      </c>
      <c r="I10" s="63">
        <v>0</v>
      </c>
      <c r="J10" s="62" t="b">
        <v>1</v>
      </c>
      <c r="K10" s="62" t="b">
        <v>1</v>
      </c>
      <c r="L10" s="62" t="b">
        <v>1</v>
      </c>
    </row>
    <row r="11" spans="1:24" x14ac:dyDescent="0.35">
      <c r="A11" s="2" t="s">
        <v>12</v>
      </c>
      <c r="B11" s="61" t="s">
        <v>15</v>
      </c>
      <c r="C11" s="61" t="s">
        <v>15</v>
      </c>
      <c r="D11" s="61" t="s">
        <v>13</v>
      </c>
      <c r="E11" s="3" t="s">
        <v>14</v>
      </c>
      <c r="F11" s="7">
        <v>0</v>
      </c>
      <c r="G11" s="32">
        <v>1.4999999999999999E-2</v>
      </c>
      <c r="H11" s="32">
        <v>0.15</v>
      </c>
      <c r="I11" s="32">
        <v>3E-10</v>
      </c>
      <c r="J11" s="62" t="b">
        <v>1</v>
      </c>
      <c r="K11" s="62" t="b">
        <v>1</v>
      </c>
      <c r="L11" s="62" t="b">
        <v>1</v>
      </c>
    </row>
    <row r="12" spans="1:24" x14ac:dyDescent="0.35">
      <c r="A12" s="2" t="s">
        <v>12</v>
      </c>
      <c r="B12" s="61" t="s">
        <v>15</v>
      </c>
      <c r="C12" s="61" t="s">
        <v>14</v>
      </c>
      <c r="D12" s="61" t="s">
        <v>13</v>
      </c>
      <c r="E12" s="3" t="s">
        <v>14</v>
      </c>
      <c r="F12" s="33">
        <v>0.05</v>
      </c>
      <c r="G12" s="34">
        <v>2.9000000000000001E-2</v>
      </c>
      <c r="H12" s="10">
        <v>0.12</v>
      </c>
      <c r="I12" s="11">
        <v>3.4999999999999998E-10</v>
      </c>
      <c r="J12" s="62" t="b">
        <v>1</v>
      </c>
      <c r="K12" s="62" t="b">
        <v>1</v>
      </c>
      <c r="L12" s="62" t="b">
        <v>1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</row>
    <row r="13" spans="1:24" x14ac:dyDescent="0.35">
      <c r="A13" t="s">
        <v>12</v>
      </c>
      <c r="B13" s="61" t="s">
        <v>15</v>
      </c>
      <c r="C13" s="61" t="s">
        <v>13</v>
      </c>
      <c r="D13" s="61" t="s">
        <v>13</v>
      </c>
      <c r="E13" s="58" t="s">
        <v>16</v>
      </c>
      <c r="F13" s="64">
        <v>0</v>
      </c>
      <c r="G13" s="63">
        <v>8.7999999999999998E-5</v>
      </c>
      <c r="H13" s="63">
        <v>0.15</v>
      </c>
      <c r="I13" s="63">
        <v>0</v>
      </c>
      <c r="J13" s="62" t="b">
        <v>1</v>
      </c>
      <c r="K13" s="62" t="b">
        <v>1</v>
      </c>
      <c r="L13" s="62" t="b">
        <v>1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</row>
    <row r="14" spans="1:24" x14ac:dyDescent="0.35">
      <c r="A14" s="2" t="s">
        <v>12</v>
      </c>
      <c r="B14" s="61" t="s">
        <v>15</v>
      </c>
      <c r="C14" s="61" t="s">
        <v>15</v>
      </c>
      <c r="D14" s="61" t="s">
        <v>13</v>
      </c>
      <c r="E14" s="3" t="s">
        <v>16</v>
      </c>
      <c r="F14" s="31">
        <v>0</v>
      </c>
      <c r="G14" s="32">
        <v>1.4500000000000001E-2</v>
      </c>
      <c r="H14" s="32">
        <v>0.15</v>
      </c>
      <c r="I14" s="32">
        <v>3E-10</v>
      </c>
      <c r="J14" s="62" t="b">
        <v>1</v>
      </c>
      <c r="K14" s="62" t="b">
        <v>1</v>
      </c>
      <c r="L14" s="62" t="b">
        <v>1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</row>
    <row r="15" spans="1:24" x14ac:dyDescent="0.35">
      <c r="A15" s="2" t="s">
        <v>12</v>
      </c>
      <c r="B15" s="61" t="s">
        <v>15</v>
      </c>
      <c r="C15" s="61" t="s">
        <v>14</v>
      </c>
      <c r="D15" s="61" t="s">
        <v>13</v>
      </c>
      <c r="E15" s="3" t="s">
        <v>16</v>
      </c>
      <c r="F15" s="9">
        <v>0.05</v>
      </c>
      <c r="G15" s="34">
        <v>2.8000000000000001E-2</v>
      </c>
      <c r="H15" s="10">
        <v>0.12</v>
      </c>
      <c r="I15" s="11">
        <v>3.4999999999999998E-10</v>
      </c>
      <c r="J15" s="62" t="b">
        <v>1</v>
      </c>
      <c r="K15" s="62" t="b">
        <v>1</v>
      </c>
      <c r="L15" s="62" t="b">
        <v>1</v>
      </c>
    </row>
    <row r="16" spans="1:24" x14ac:dyDescent="0.35">
      <c r="A16" s="65" t="s">
        <v>12</v>
      </c>
      <c r="B16" s="65" t="s">
        <v>14</v>
      </c>
      <c r="C16" s="65" t="s">
        <v>13</v>
      </c>
      <c r="D16" s="65" t="s">
        <v>13</v>
      </c>
      <c r="E16" s="66" t="s">
        <v>13</v>
      </c>
      <c r="F16" s="60">
        <v>0</v>
      </c>
      <c r="G16" s="59">
        <v>1.7000000000000001E-4</v>
      </c>
      <c r="H16" s="87">
        <v>0.12</v>
      </c>
      <c r="I16" s="59">
        <v>0</v>
      </c>
      <c r="J16" s="62" t="b">
        <v>1</v>
      </c>
      <c r="K16" s="62" t="b">
        <v>1</v>
      </c>
      <c r="L16" s="62" t="b">
        <v>1</v>
      </c>
    </row>
    <row r="17" spans="1:12" x14ac:dyDescent="0.35">
      <c r="A17" s="61" t="s">
        <v>12</v>
      </c>
      <c r="B17" s="61" t="s">
        <v>14</v>
      </c>
      <c r="C17" s="61" t="s">
        <v>15</v>
      </c>
      <c r="D17" s="61" t="s">
        <v>13</v>
      </c>
      <c r="E17" s="12" t="s">
        <v>13</v>
      </c>
      <c r="F17" s="13">
        <v>0</v>
      </c>
      <c r="G17" s="14">
        <v>2.1999999999999999E-2</v>
      </c>
      <c r="H17" s="14">
        <v>0.12</v>
      </c>
      <c r="I17" s="40">
        <v>4.0000000000000001E-10</v>
      </c>
      <c r="J17" s="12" t="b">
        <v>1</v>
      </c>
      <c r="K17" s="12" t="b">
        <v>1</v>
      </c>
      <c r="L17" s="12" t="b">
        <v>1</v>
      </c>
    </row>
    <row r="18" spans="1:12" ht="14.25" customHeight="1" x14ac:dyDescent="0.35">
      <c r="A18" s="61" t="s">
        <v>12</v>
      </c>
      <c r="B18" s="61" t="s">
        <v>14</v>
      </c>
      <c r="C18" s="61" t="s">
        <v>14</v>
      </c>
      <c r="D18" s="61" t="s">
        <v>13</v>
      </c>
      <c r="E18" s="12" t="s">
        <v>13</v>
      </c>
      <c r="F18" s="15">
        <v>7.0000000000000007E-2</v>
      </c>
      <c r="G18" s="16">
        <v>4.2000000000000003E-2</v>
      </c>
      <c r="H18" s="87">
        <v>0.12</v>
      </c>
      <c r="I18" s="17">
        <v>4.0000000000000001E-10</v>
      </c>
      <c r="J18" s="12" t="b">
        <v>1</v>
      </c>
      <c r="K18" s="12" t="b">
        <v>1</v>
      </c>
      <c r="L18" s="12" t="b">
        <v>1</v>
      </c>
    </row>
    <row r="19" spans="1:12" x14ac:dyDescent="0.35">
      <c r="A19" s="61" t="s">
        <v>12</v>
      </c>
      <c r="B19" s="61" t="s">
        <v>14</v>
      </c>
      <c r="C19" s="61" t="s">
        <v>13</v>
      </c>
      <c r="D19" s="61" t="s">
        <v>13</v>
      </c>
      <c r="E19" s="58" t="s">
        <v>15</v>
      </c>
      <c r="F19" s="60">
        <v>0</v>
      </c>
      <c r="G19" s="59">
        <v>1.3999999999999999E-4</v>
      </c>
      <c r="H19" s="59">
        <v>0.12</v>
      </c>
      <c r="I19" s="59">
        <v>0</v>
      </c>
      <c r="J19" s="58" t="b">
        <v>1</v>
      </c>
      <c r="K19" s="58" t="b">
        <v>1</v>
      </c>
      <c r="L19" s="58" t="b">
        <v>1</v>
      </c>
    </row>
    <row r="20" spans="1:12" x14ac:dyDescent="0.35">
      <c r="A20" s="61" t="s">
        <v>12</v>
      </c>
      <c r="B20" s="61" t="s">
        <v>14</v>
      </c>
      <c r="C20" s="61" t="s">
        <v>15</v>
      </c>
      <c r="D20" s="61" t="s">
        <v>13</v>
      </c>
      <c r="E20" s="58" t="s">
        <v>15</v>
      </c>
      <c r="F20" s="13">
        <v>0</v>
      </c>
      <c r="G20" s="40">
        <v>1.7999999999999999E-2</v>
      </c>
      <c r="H20" s="40">
        <v>0.12</v>
      </c>
      <c r="I20" s="40">
        <v>4.0000000000000001E-10</v>
      </c>
      <c r="J20" s="58" t="b">
        <v>1</v>
      </c>
      <c r="K20" s="58" t="b">
        <v>1</v>
      </c>
      <c r="L20" s="58" t="b">
        <v>1</v>
      </c>
    </row>
    <row r="21" spans="1:12" x14ac:dyDescent="0.35">
      <c r="A21" s="61" t="s">
        <v>12</v>
      </c>
      <c r="B21" s="61" t="s">
        <v>14</v>
      </c>
      <c r="C21" s="61" t="s">
        <v>14</v>
      </c>
      <c r="D21" s="61" t="s">
        <v>13</v>
      </c>
      <c r="E21" s="58" t="s">
        <v>15</v>
      </c>
      <c r="F21" s="28">
        <v>7.0000000000000007E-2</v>
      </c>
      <c r="G21" s="38">
        <v>3.9E-2</v>
      </c>
      <c r="H21" s="38">
        <v>0.12</v>
      </c>
      <c r="I21" s="17">
        <v>4.0000000000000001E-10</v>
      </c>
      <c r="J21" s="58" t="b">
        <v>1</v>
      </c>
      <c r="K21" s="58" t="b">
        <v>1</v>
      </c>
      <c r="L21" s="58" t="b">
        <v>1</v>
      </c>
    </row>
    <row r="22" spans="1:12" x14ac:dyDescent="0.35">
      <c r="A22" s="61" t="s">
        <v>12</v>
      </c>
      <c r="B22" s="61" t="s">
        <v>14</v>
      </c>
      <c r="C22" s="61" t="s">
        <v>13</v>
      </c>
      <c r="D22" s="61" t="s">
        <v>13</v>
      </c>
      <c r="E22" s="58" t="s">
        <v>14</v>
      </c>
      <c r="F22" s="60">
        <v>0</v>
      </c>
      <c r="G22" s="88">
        <v>1.014E-4</v>
      </c>
      <c r="H22" s="59">
        <v>0.12</v>
      </c>
      <c r="I22" s="59">
        <v>0</v>
      </c>
      <c r="J22" s="58" t="b">
        <v>1</v>
      </c>
      <c r="K22" s="58" t="b">
        <v>1</v>
      </c>
      <c r="L22" s="58" t="b">
        <v>1</v>
      </c>
    </row>
    <row r="23" spans="1:12" x14ac:dyDescent="0.35">
      <c r="A23" s="61" t="s">
        <v>12</v>
      </c>
      <c r="B23" s="61" t="s">
        <v>14</v>
      </c>
      <c r="C23" s="61" t="s">
        <v>15</v>
      </c>
      <c r="D23" s="61" t="s">
        <v>13</v>
      </c>
      <c r="E23" s="58" t="s">
        <v>14</v>
      </c>
      <c r="F23" s="13">
        <v>0</v>
      </c>
      <c r="G23" s="42">
        <v>1.4E-2</v>
      </c>
      <c r="H23" s="40">
        <v>0.12</v>
      </c>
      <c r="I23" s="40">
        <v>4.0000000000000001E-10</v>
      </c>
      <c r="J23" s="58" t="b">
        <v>1</v>
      </c>
      <c r="K23" s="58" t="b">
        <v>1</v>
      </c>
      <c r="L23" s="58" t="b">
        <v>1</v>
      </c>
    </row>
    <row r="24" spans="1:12" x14ac:dyDescent="0.35">
      <c r="A24" s="61" t="s">
        <v>12</v>
      </c>
      <c r="B24" s="61" t="s">
        <v>14</v>
      </c>
      <c r="C24" s="61" t="s">
        <v>14</v>
      </c>
      <c r="D24" s="61" t="s">
        <v>13</v>
      </c>
      <c r="E24" s="58" t="s">
        <v>14</v>
      </c>
      <c r="F24" s="28">
        <v>7.0000000000000007E-2</v>
      </c>
      <c r="G24" s="38">
        <v>2.75E-2</v>
      </c>
      <c r="H24" s="38">
        <v>0.12</v>
      </c>
      <c r="I24" s="17">
        <v>4.0000000000000001E-10</v>
      </c>
      <c r="J24" s="58" t="b">
        <v>1</v>
      </c>
      <c r="K24" s="58" t="b">
        <v>1</v>
      </c>
      <c r="L24" s="58" t="b">
        <v>1</v>
      </c>
    </row>
    <row r="25" spans="1:12" x14ac:dyDescent="0.35">
      <c r="A25" s="61" t="s">
        <v>12</v>
      </c>
      <c r="B25" s="61" t="s">
        <v>14</v>
      </c>
      <c r="C25" s="61" t="s">
        <v>13</v>
      </c>
      <c r="D25" s="61" t="s">
        <v>13</v>
      </c>
      <c r="E25" s="58" t="s">
        <v>16</v>
      </c>
      <c r="F25" s="60">
        <v>0</v>
      </c>
      <c r="G25" s="59">
        <v>8.8700000000000001E-5</v>
      </c>
      <c r="H25" s="59">
        <v>0.12</v>
      </c>
      <c r="I25" s="59">
        <v>0</v>
      </c>
      <c r="J25" s="58" t="b">
        <v>1</v>
      </c>
      <c r="K25" s="58" t="b">
        <v>1</v>
      </c>
      <c r="L25" s="58" t="b">
        <v>1</v>
      </c>
    </row>
    <row r="26" spans="1:12" x14ac:dyDescent="0.35">
      <c r="A26" s="61" t="s">
        <v>12</v>
      </c>
      <c r="B26" s="61" t="s">
        <v>14</v>
      </c>
      <c r="C26" s="61" t="s">
        <v>15</v>
      </c>
      <c r="D26" s="61" t="s">
        <v>13</v>
      </c>
      <c r="E26" s="58" t="s">
        <v>16</v>
      </c>
      <c r="F26" s="13">
        <v>0</v>
      </c>
      <c r="G26" s="40">
        <v>1.2500000000000001E-2</v>
      </c>
      <c r="H26" s="14">
        <v>0.12</v>
      </c>
      <c r="I26" s="40">
        <v>4.0000000000000001E-10</v>
      </c>
      <c r="J26" s="12" t="b">
        <v>1</v>
      </c>
      <c r="K26" s="12" t="b">
        <v>1</v>
      </c>
      <c r="L26" s="12" t="b">
        <v>1</v>
      </c>
    </row>
    <row r="27" spans="1:12" x14ac:dyDescent="0.35">
      <c r="A27" s="61" t="s">
        <v>12</v>
      </c>
      <c r="B27" s="61" t="s">
        <v>14</v>
      </c>
      <c r="C27" s="61" t="s">
        <v>14</v>
      </c>
      <c r="D27" s="61" t="s">
        <v>13</v>
      </c>
      <c r="E27" s="12" t="s">
        <v>16</v>
      </c>
      <c r="F27" s="15">
        <v>7.0000000000000007E-2</v>
      </c>
      <c r="G27" s="38">
        <v>2.5000000000000001E-2</v>
      </c>
      <c r="H27" s="16">
        <v>0.12</v>
      </c>
      <c r="I27" s="17">
        <v>4.0000000000000001E-10</v>
      </c>
      <c r="J27" s="12" t="b">
        <v>1</v>
      </c>
      <c r="K27" s="12" t="b">
        <v>1</v>
      </c>
      <c r="L27" s="12" t="b">
        <v>1</v>
      </c>
    </row>
    <row r="28" spans="1:12" x14ac:dyDescent="0.35">
      <c r="A28" s="65" t="s">
        <v>12</v>
      </c>
      <c r="B28" s="65" t="s">
        <v>18</v>
      </c>
      <c r="C28" s="67" t="s">
        <v>13</v>
      </c>
      <c r="D28" s="65" t="s">
        <v>13</v>
      </c>
      <c r="E28" s="66" t="s">
        <v>13</v>
      </c>
      <c r="F28" s="60">
        <v>0</v>
      </c>
      <c r="G28" s="87">
        <v>2.9E-4</v>
      </c>
      <c r="H28" s="87">
        <v>0.12</v>
      </c>
      <c r="I28" s="59">
        <v>0</v>
      </c>
      <c r="J28" s="62" t="b">
        <v>1</v>
      </c>
      <c r="K28" s="62" t="b">
        <v>1</v>
      </c>
      <c r="L28" s="62" t="b">
        <v>1</v>
      </c>
    </row>
    <row r="29" spans="1:12" x14ac:dyDescent="0.35">
      <c r="A29" s="61" t="s">
        <v>12</v>
      </c>
      <c r="B29" s="61" t="s">
        <v>18</v>
      </c>
      <c r="C29" s="61" t="s">
        <v>15</v>
      </c>
      <c r="D29" s="61" t="s">
        <v>13</v>
      </c>
      <c r="E29" s="62" t="s">
        <v>13</v>
      </c>
      <c r="F29" s="13">
        <v>0</v>
      </c>
      <c r="G29" s="70">
        <v>3.4000000000000002E-2</v>
      </c>
      <c r="H29" s="40">
        <v>0.12</v>
      </c>
      <c r="I29" s="40">
        <v>4.0000000000000001E-10</v>
      </c>
      <c r="J29" s="62" t="b">
        <v>1</v>
      </c>
      <c r="K29" s="62" t="b">
        <v>1</v>
      </c>
      <c r="L29" s="62" t="b">
        <v>1</v>
      </c>
    </row>
    <row r="30" spans="1:12" x14ac:dyDescent="0.35">
      <c r="A30" s="61" t="s">
        <v>12</v>
      </c>
      <c r="B30" s="61" t="s">
        <v>18</v>
      </c>
      <c r="C30" s="61" t="s">
        <v>14</v>
      </c>
      <c r="D30" s="61" t="s">
        <v>13</v>
      </c>
      <c r="E30" s="62" t="s">
        <v>13</v>
      </c>
      <c r="F30" s="28">
        <v>7.0000000000000007E-2</v>
      </c>
      <c r="G30" s="38">
        <v>6.7500000000000004E-2</v>
      </c>
      <c r="H30" s="87">
        <v>0.12</v>
      </c>
      <c r="I30" s="17">
        <v>4.0000000000000001E-10</v>
      </c>
      <c r="J30" s="62" t="b">
        <v>1</v>
      </c>
      <c r="K30" s="62" t="b">
        <v>1</v>
      </c>
      <c r="L30" s="62" t="b">
        <v>1</v>
      </c>
    </row>
    <row r="31" spans="1:12" x14ac:dyDescent="0.35">
      <c r="A31" s="61" t="s">
        <v>12</v>
      </c>
      <c r="B31" s="61" t="s">
        <v>18</v>
      </c>
      <c r="C31" s="41" t="s">
        <v>13</v>
      </c>
      <c r="D31" s="61" t="s">
        <v>13</v>
      </c>
      <c r="E31" s="62" t="s">
        <v>15</v>
      </c>
      <c r="F31" s="60">
        <v>0</v>
      </c>
      <c r="G31" s="76">
        <v>2.4000000000000001E-4</v>
      </c>
      <c r="H31" s="59">
        <v>0.12</v>
      </c>
      <c r="I31" s="59">
        <v>0</v>
      </c>
      <c r="J31" s="62" t="b">
        <v>1</v>
      </c>
      <c r="K31" s="62" t="b">
        <v>1</v>
      </c>
      <c r="L31" s="62" t="b">
        <v>1</v>
      </c>
    </row>
    <row r="32" spans="1:12" x14ac:dyDescent="0.35">
      <c r="A32" s="61" t="s">
        <v>12</v>
      </c>
      <c r="B32" s="61" t="s">
        <v>18</v>
      </c>
      <c r="C32" s="61" t="s">
        <v>15</v>
      </c>
      <c r="D32" s="61" t="s">
        <v>13</v>
      </c>
      <c r="E32" s="62" t="s">
        <v>15</v>
      </c>
      <c r="F32" s="13">
        <v>0</v>
      </c>
      <c r="G32" s="71">
        <v>0.03</v>
      </c>
      <c r="H32" s="40">
        <v>0.12</v>
      </c>
      <c r="I32" s="40">
        <v>4.0000000000000001E-10</v>
      </c>
      <c r="J32" s="62" t="b">
        <v>1</v>
      </c>
      <c r="K32" s="62" t="b">
        <v>1</v>
      </c>
      <c r="L32" s="62" t="b">
        <v>1</v>
      </c>
    </row>
    <row r="33" spans="1:12" x14ac:dyDescent="0.35">
      <c r="A33" s="61" t="s">
        <v>12</v>
      </c>
      <c r="B33" s="61" t="s">
        <v>18</v>
      </c>
      <c r="C33" s="61" t="s">
        <v>14</v>
      </c>
      <c r="D33" s="61" t="s">
        <v>13</v>
      </c>
      <c r="E33" s="62" t="s">
        <v>15</v>
      </c>
      <c r="F33" s="28">
        <v>7.0000000000000007E-2</v>
      </c>
      <c r="G33" s="76">
        <v>5.2999999999999999E-2</v>
      </c>
      <c r="H33" s="38">
        <v>0.12</v>
      </c>
      <c r="I33" s="17">
        <v>4.0000000000000001E-10</v>
      </c>
      <c r="J33" s="62" t="b">
        <v>1</v>
      </c>
      <c r="K33" s="62" t="b">
        <v>1</v>
      </c>
      <c r="L33" s="62" t="b">
        <v>1</v>
      </c>
    </row>
    <row r="34" spans="1:12" x14ac:dyDescent="0.35">
      <c r="A34" s="61" t="s">
        <v>12</v>
      </c>
      <c r="B34" s="61" t="s">
        <v>18</v>
      </c>
      <c r="C34" s="41" t="s">
        <v>13</v>
      </c>
      <c r="D34" s="61" t="s">
        <v>13</v>
      </c>
      <c r="E34" s="62" t="s">
        <v>14</v>
      </c>
      <c r="F34" s="60">
        <v>0</v>
      </c>
      <c r="G34" s="68">
        <v>1.2999999999999999E-4</v>
      </c>
      <c r="H34" s="59">
        <v>0.12</v>
      </c>
      <c r="I34" s="59">
        <v>0</v>
      </c>
      <c r="J34" s="62" t="b">
        <v>1</v>
      </c>
      <c r="K34" s="62" t="b">
        <v>1</v>
      </c>
      <c r="L34" s="62" t="b">
        <v>1</v>
      </c>
    </row>
    <row r="35" spans="1:12" x14ac:dyDescent="0.35">
      <c r="A35" s="61" t="s">
        <v>12</v>
      </c>
      <c r="B35" s="61" t="s">
        <v>18</v>
      </c>
      <c r="C35" s="61" t="s">
        <v>15</v>
      </c>
      <c r="D35" s="61" t="s">
        <v>13</v>
      </c>
      <c r="E35" s="62" t="s">
        <v>14</v>
      </c>
      <c r="F35" s="13">
        <v>0</v>
      </c>
      <c r="G35" s="72">
        <v>1.77E-2</v>
      </c>
      <c r="H35" s="40">
        <v>0.12</v>
      </c>
      <c r="I35" s="40">
        <v>4.0000000000000001E-10</v>
      </c>
      <c r="J35" s="62" t="b">
        <v>1</v>
      </c>
      <c r="K35" s="62" t="b">
        <v>1</v>
      </c>
      <c r="L35" s="62" t="b">
        <v>1</v>
      </c>
    </row>
    <row r="36" spans="1:12" x14ac:dyDescent="0.35">
      <c r="A36" s="61" t="s">
        <v>12</v>
      </c>
      <c r="B36" s="61" t="s">
        <v>18</v>
      </c>
      <c r="C36" s="61" t="s">
        <v>14</v>
      </c>
      <c r="D36" s="61" t="s">
        <v>13</v>
      </c>
      <c r="E36" s="62" t="s">
        <v>14</v>
      </c>
      <c r="F36" s="28">
        <v>7.0000000000000007E-2</v>
      </c>
      <c r="G36" s="75">
        <v>3.4000000000000002E-2</v>
      </c>
      <c r="H36" s="38">
        <v>0.12</v>
      </c>
      <c r="I36" s="17">
        <v>4.0000000000000001E-10</v>
      </c>
      <c r="J36" s="62" t="b">
        <v>1</v>
      </c>
      <c r="K36" s="62" t="b">
        <v>1</v>
      </c>
      <c r="L36" s="62" t="b">
        <v>1</v>
      </c>
    </row>
    <row r="37" spans="1:12" x14ac:dyDescent="0.35">
      <c r="A37" s="61" t="s">
        <v>12</v>
      </c>
      <c r="B37" s="61" t="s">
        <v>18</v>
      </c>
      <c r="C37" s="41" t="s">
        <v>13</v>
      </c>
      <c r="D37" s="61" t="s">
        <v>13</v>
      </c>
      <c r="E37" s="62" t="s">
        <v>16</v>
      </c>
      <c r="F37" s="60">
        <v>0</v>
      </c>
      <c r="G37" s="69">
        <v>9.0000000000000006E-5</v>
      </c>
      <c r="H37" s="59">
        <v>0.12</v>
      </c>
      <c r="I37" s="59">
        <v>0</v>
      </c>
      <c r="J37" s="62" t="b">
        <v>1</v>
      </c>
      <c r="K37" s="62" t="b">
        <v>1</v>
      </c>
      <c r="L37" s="62" t="b">
        <v>1</v>
      </c>
    </row>
    <row r="38" spans="1:12" x14ac:dyDescent="0.35">
      <c r="A38" s="61" t="s">
        <v>12</v>
      </c>
      <c r="B38" s="61" t="s">
        <v>18</v>
      </c>
      <c r="C38" s="61" t="s">
        <v>15</v>
      </c>
      <c r="D38" s="61" t="s">
        <v>13</v>
      </c>
      <c r="E38" s="62" t="s">
        <v>16</v>
      </c>
      <c r="F38" s="13">
        <v>0</v>
      </c>
      <c r="G38" s="73">
        <v>1.273E-2</v>
      </c>
      <c r="H38" s="40">
        <v>0.12</v>
      </c>
      <c r="I38" s="40">
        <v>4.0000000000000001E-10</v>
      </c>
      <c r="J38" s="62" t="b">
        <v>1</v>
      </c>
      <c r="K38" s="62" t="b">
        <v>1</v>
      </c>
      <c r="L38" s="62" t="b">
        <v>1</v>
      </c>
    </row>
    <row r="39" spans="1:12" x14ac:dyDescent="0.35">
      <c r="A39" s="61" t="s">
        <v>12</v>
      </c>
      <c r="B39" s="61" t="s">
        <v>18</v>
      </c>
      <c r="C39" s="61" t="s">
        <v>14</v>
      </c>
      <c r="D39" s="61" t="s">
        <v>13</v>
      </c>
      <c r="E39" s="62" t="s">
        <v>16</v>
      </c>
      <c r="F39" s="28">
        <v>7.0000000000000007E-2</v>
      </c>
      <c r="G39" s="74">
        <v>2.5000000000000001E-2</v>
      </c>
      <c r="H39" s="38">
        <v>0.12</v>
      </c>
      <c r="I39" s="17">
        <v>4.0000000000000001E-10</v>
      </c>
      <c r="J39" s="62" t="b">
        <v>1</v>
      </c>
      <c r="K39" s="62" t="b">
        <v>1</v>
      </c>
      <c r="L39" s="62" t="b">
        <v>1</v>
      </c>
    </row>
    <row r="40" spans="1:12" x14ac:dyDescent="0.35">
      <c r="A40" s="65" t="s">
        <v>17</v>
      </c>
      <c r="B40" s="65" t="s">
        <v>13</v>
      </c>
      <c r="C40" s="65" t="s">
        <v>13</v>
      </c>
      <c r="D40" s="65" t="s">
        <v>13</v>
      </c>
      <c r="E40" s="66" t="s">
        <v>13</v>
      </c>
      <c r="F40" s="78">
        <v>0</v>
      </c>
      <c r="G40" s="79">
        <v>9.2E-5</v>
      </c>
      <c r="H40" s="80">
        <v>0.3</v>
      </c>
      <c r="I40" s="81">
        <v>0</v>
      </c>
      <c r="J40" s="82" t="b">
        <v>0</v>
      </c>
      <c r="K40" s="82" t="b">
        <v>0</v>
      </c>
      <c r="L40" s="82" t="b">
        <v>0</v>
      </c>
    </row>
    <row r="41" spans="1:12" x14ac:dyDescent="0.35">
      <c r="A41" s="18" t="s">
        <v>17</v>
      </c>
      <c r="B41" s="18" t="s">
        <v>13</v>
      </c>
      <c r="C41" s="18" t="s">
        <v>14</v>
      </c>
      <c r="D41" s="18" t="s">
        <v>13</v>
      </c>
      <c r="E41" s="19" t="s">
        <v>13</v>
      </c>
      <c r="F41" s="22">
        <v>7.0000000000000007E-2</v>
      </c>
      <c r="G41" s="23">
        <v>0.115</v>
      </c>
      <c r="H41" s="24">
        <v>0.3</v>
      </c>
      <c r="I41" s="23">
        <v>8.9999999999999999E-11</v>
      </c>
      <c r="J41" s="61" t="b">
        <v>1</v>
      </c>
      <c r="K41" s="61" t="b">
        <v>1</v>
      </c>
      <c r="L41" s="61" t="b">
        <v>1</v>
      </c>
    </row>
    <row r="42" spans="1:12" x14ac:dyDescent="0.35">
      <c r="A42" t="s">
        <v>19</v>
      </c>
      <c r="B42" t="s">
        <v>13</v>
      </c>
      <c r="C42" t="s">
        <v>15</v>
      </c>
      <c r="D42" t="s">
        <v>13</v>
      </c>
      <c r="E42" s="62" t="s">
        <v>13</v>
      </c>
      <c r="F42" s="55">
        <v>0.06</v>
      </c>
      <c r="G42" s="54">
        <f>0.0534*1.1</f>
        <v>5.8740000000000007E-2</v>
      </c>
      <c r="H42" s="56">
        <v>0.3</v>
      </c>
      <c r="I42" s="54">
        <f>9*10^(-11)</f>
        <v>8.9999999999999999E-11</v>
      </c>
      <c r="J42" s="61" t="b">
        <v>1</v>
      </c>
      <c r="K42" s="61" t="b">
        <v>1</v>
      </c>
      <c r="L42" s="61" t="b">
        <v>1</v>
      </c>
    </row>
    <row r="43" spans="1:12" x14ac:dyDescent="0.35">
      <c r="A43" s="65" t="s">
        <v>17</v>
      </c>
      <c r="B43" s="65" t="s">
        <v>15</v>
      </c>
      <c r="C43" s="65" t="s">
        <v>13</v>
      </c>
      <c r="D43" s="65" t="s">
        <v>13</v>
      </c>
      <c r="E43" s="66" t="s">
        <v>13</v>
      </c>
      <c r="F43" s="64">
        <v>0</v>
      </c>
      <c r="G43" s="63">
        <v>1.2750000000000001E-4</v>
      </c>
      <c r="H43" s="83">
        <v>0.3</v>
      </c>
      <c r="I43" s="63">
        <v>0</v>
      </c>
      <c r="J43" s="61" t="b">
        <v>1</v>
      </c>
      <c r="K43" s="61" t="b">
        <v>1</v>
      </c>
      <c r="L43" s="61" t="b">
        <v>1</v>
      </c>
    </row>
    <row r="44" spans="1:12" x14ac:dyDescent="0.35">
      <c r="A44" s="50" t="s">
        <v>17</v>
      </c>
      <c r="B44" s="50" t="s">
        <v>15</v>
      </c>
      <c r="C44" s="50" t="s">
        <v>15</v>
      </c>
      <c r="D44" s="50" t="s">
        <v>13</v>
      </c>
      <c r="E44" s="19" t="s">
        <v>13</v>
      </c>
      <c r="F44" s="47">
        <v>0.06</v>
      </c>
      <c r="G44" s="45">
        <v>7.0000000000000007E-2</v>
      </c>
      <c r="H44" s="48">
        <v>0.3</v>
      </c>
      <c r="I44" s="45">
        <v>1E-10</v>
      </c>
      <c r="J44" s="62" t="b">
        <v>1</v>
      </c>
      <c r="K44" s="62" t="b">
        <v>1</v>
      </c>
      <c r="L44" s="77" t="b">
        <v>1</v>
      </c>
    </row>
    <row r="45" spans="1:12" x14ac:dyDescent="0.35">
      <c r="A45" s="50" t="s">
        <v>17</v>
      </c>
      <c r="B45" s="50" t="s">
        <v>15</v>
      </c>
      <c r="C45" s="50" t="s">
        <v>14</v>
      </c>
      <c r="D45" s="50" t="s">
        <v>13</v>
      </c>
      <c r="E45" s="19" t="s">
        <v>13</v>
      </c>
      <c r="F45" s="20">
        <v>0.06</v>
      </c>
      <c r="G45" s="21">
        <v>0.15</v>
      </c>
      <c r="H45" s="25">
        <v>0.3</v>
      </c>
      <c r="I45" s="21">
        <v>8.9999999999999999E-11</v>
      </c>
      <c r="J45" s="62" t="b">
        <v>1</v>
      </c>
      <c r="K45" s="62" t="b">
        <v>1</v>
      </c>
      <c r="L45" s="77" t="b">
        <v>1</v>
      </c>
    </row>
    <row r="46" spans="1:12" x14ac:dyDescent="0.35">
      <c r="A46" t="s">
        <v>17</v>
      </c>
      <c r="B46" t="s">
        <v>15</v>
      </c>
      <c r="C46" t="s">
        <v>13</v>
      </c>
      <c r="D46" t="s">
        <v>13</v>
      </c>
      <c r="E46" s="62" t="s">
        <v>15</v>
      </c>
      <c r="F46" s="64">
        <v>0</v>
      </c>
      <c r="G46" s="63">
        <v>1.16E-4</v>
      </c>
      <c r="H46" s="83">
        <v>0.3</v>
      </c>
      <c r="I46" s="63">
        <v>0</v>
      </c>
      <c r="J46" s="61" t="b">
        <v>1</v>
      </c>
      <c r="K46" s="61" t="b">
        <v>1</v>
      </c>
      <c r="L46" s="61" t="b">
        <v>1</v>
      </c>
    </row>
    <row r="47" spans="1:12" x14ac:dyDescent="0.35">
      <c r="A47" s="50" t="s">
        <v>17</v>
      </c>
      <c r="B47" s="50" t="s">
        <v>15</v>
      </c>
      <c r="C47" s="50" t="s">
        <v>15</v>
      </c>
      <c r="D47" s="50" t="s">
        <v>13</v>
      </c>
      <c r="E47" s="19" t="s">
        <v>15</v>
      </c>
      <c r="F47" s="47">
        <v>0.06</v>
      </c>
      <c r="G47" s="49">
        <v>6.0040000000000003E-2</v>
      </c>
      <c r="H47" s="48">
        <v>0.3</v>
      </c>
      <c r="I47" s="45">
        <v>1E-10</v>
      </c>
      <c r="J47" s="62" t="b">
        <v>1</v>
      </c>
      <c r="K47" s="62" t="b">
        <v>1</v>
      </c>
      <c r="L47" s="77" t="b">
        <v>1</v>
      </c>
    </row>
    <row r="48" spans="1:12" x14ac:dyDescent="0.35">
      <c r="A48" s="50" t="s">
        <v>17</v>
      </c>
      <c r="B48" s="50" t="s">
        <v>15</v>
      </c>
      <c r="C48" s="50" t="s">
        <v>14</v>
      </c>
      <c r="D48" s="50" t="s">
        <v>13</v>
      </c>
      <c r="E48" s="19" t="s">
        <v>15</v>
      </c>
      <c r="F48" s="20">
        <v>0.06</v>
      </c>
      <c r="G48" s="21">
        <v>0.13200000000000001</v>
      </c>
      <c r="H48" s="25">
        <v>0.3</v>
      </c>
      <c r="I48" s="21">
        <v>8.9999999999999999E-11</v>
      </c>
      <c r="J48" s="19" t="b">
        <v>1</v>
      </c>
      <c r="K48" s="77" t="b">
        <v>1</v>
      </c>
      <c r="L48" s="77" t="b">
        <v>1</v>
      </c>
    </row>
    <row r="49" spans="1:12" x14ac:dyDescent="0.35">
      <c r="A49" t="s">
        <v>17</v>
      </c>
      <c r="B49" t="s">
        <v>15</v>
      </c>
      <c r="C49" t="s">
        <v>13</v>
      </c>
      <c r="D49" t="s">
        <v>13</v>
      </c>
      <c r="E49" s="62" t="s">
        <v>14</v>
      </c>
      <c r="F49" s="64">
        <v>0</v>
      </c>
      <c r="G49" s="63">
        <v>9.2499999999999999E-5</v>
      </c>
      <c r="H49" s="83">
        <v>0.3</v>
      </c>
      <c r="I49" s="63">
        <v>0</v>
      </c>
      <c r="J49" s="61" t="b">
        <v>1</v>
      </c>
      <c r="K49" s="61" t="b">
        <v>1</v>
      </c>
      <c r="L49" s="61" t="b">
        <v>1</v>
      </c>
    </row>
    <row r="50" spans="1:12" x14ac:dyDescent="0.35">
      <c r="A50" s="50" t="s">
        <v>17</v>
      </c>
      <c r="B50" s="50" t="s">
        <v>15</v>
      </c>
      <c r="C50" s="50" t="s">
        <v>15</v>
      </c>
      <c r="D50" s="50" t="s">
        <v>13</v>
      </c>
      <c r="E50" s="19" t="s">
        <v>14</v>
      </c>
      <c r="F50" s="53">
        <v>0.06</v>
      </c>
      <c r="G50" s="49">
        <v>5.0040000000000001E-2</v>
      </c>
      <c r="H50" s="48">
        <v>0.3</v>
      </c>
      <c r="I50" s="45">
        <v>1E-10</v>
      </c>
      <c r="J50" s="19" t="b">
        <v>1</v>
      </c>
      <c r="K50" s="62" t="b">
        <v>1</v>
      </c>
      <c r="L50" s="77" t="b">
        <v>1</v>
      </c>
    </row>
    <row r="51" spans="1:12" x14ac:dyDescent="0.35">
      <c r="A51" s="50" t="s">
        <v>17</v>
      </c>
      <c r="B51" s="50" t="s">
        <v>15</v>
      </c>
      <c r="C51" s="50" t="s">
        <v>14</v>
      </c>
      <c r="D51" s="50" t="s">
        <v>13</v>
      </c>
      <c r="E51" s="19" t="s">
        <v>14</v>
      </c>
      <c r="F51" s="20">
        <v>0.06</v>
      </c>
      <c r="G51" s="21">
        <v>0.11</v>
      </c>
      <c r="H51" s="25">
        <v>0.3</v>
      </c>
      <c r="I51" s="21">
        <v>8.9999999999999999E-11</v>
      </c>
      <c r="J51" s="19" t="b">
        <v>1</v>
      </c>
      <c r="K51" s="77" t="b">
        <v>1</v>
      </c>
      <c r="L51" s="77" t="b">
        <v>1</v>
      </c>
    </row>
    <row r="52" spans="1:12" x14ac:dyDescent="0.35">
      <c r="A52" t="s">
        <v>17</v>
      </c>
      <c r="B52" t="s">
        <v>15</v>
      </c>
      <c r="C52" t="s">
        <v>13</v>
      </c>
      <c r="D52" t="s">
        <v>13</v>
      </c>
      <c r="E52" s="62" t="s">
        <v>16</v>
      </c>
      <c r="F52" s="64">
        <v>0</v>
      </c>
      <c r="G52" s="63">
        <v>8.7999999999999998E-5</v>
      </c>
      <c r="H52" s="83">
        <v>0.3</v>
      </c>
      <c r="I52" s="63">
        <v>0</v>
      </c>
      <c r="J52" s="61" t="b">
        <v>1</v>
      </c>
      <c r="K52" s="61" t="b">
        <v>1</v>
      </c>
      <c r="L52" s="61" t="b">
        <v>1</v>
      </c>
    </row>
    <row r="53" spans="1:12" x14ac:dyDescent="0.35">
      <c r="A53" s="50" t="s">
        <v>17</v>
      </c>
      <c r="B53" s="50" t="s">
        <v>15</v>
      </c>
      <c r="C53" s="50" t="s">
        <v>15</v>
      </c>
      <c r="D53" s="50" t="s">
        <v>13</v>
      </c>
      <c r="E53" s="19" t="s">
        <v>16</v>
      </c>
      <c r="F53" s="47">
        <v>0.06</v>
      </c>
      <c r="G53" s="49">
        <v>4.7539999999999999E-2</v>
      </c>
      <c r="H53" s="48">
        <v>0.3</v>
      </c>
      <c r="I53" s="45">
        <v>1E-10</v>
      </c>
      <c r="J53" s="19" t="b">
        <v>1</v>
      </c>
      <c r="K53" s="62" t="b">
        <v>1</v>
      </c>
      <c r="L53" s="77" t="b">
        <v>1</v>
      </c>
    </row>
    <row r="54" spans="1:12" x14ac:dyDescent="0.35">
      <c r="A54" s="50" t="s">
        <v>17</v>
      </c>
      <c r="B54" s="50" t="s">
        <v>15</v>
      </c>
      <c r="C54" s="50" t="s">
        <v>14</v>
      </c>
      <c r="D54" s="50" t="s">
        <v>13</v>
      </c>
      <c r="E54" s="19" t="s">
        <v>16</v>
      </c>
      <c r="F54" s="20">
        <v>0.06</v>
      </c>
      <c r="G54" s="35">
        <v>0.1</v>
      </c>
      <c r="H54" s="25">
        <v>0.3</v>
      </c>
      <c r="I54" s="21">
        <v>8.9999999999999999E-11</v>
      </c>
      <c r="J54" s="19" t="b">
        <v>1</v>
      </c>
      <c r="K54" s="77" t="b">
        <v>1</v>
      </c>
      <c r="L54" s="77" t="b">
        <v>1</v>
      </c>
    </row>
    <row r="55" spans="1:12" x14ac:dyDescent="0.35">
      <c r="A55" s="65" t="s">
        <v>17</v>
      </c>
      <c r="B55" s="65" t="s">
        <v>14</v>
      </c>
      <c r="C55" s="65" t="s">
        <v>13</v>
      </c>
      <c r="D55" s="65" t="s">
        <v>13</v>
      </c>
      <c r="E55" s="66" t="s">
        <v>13</v>
      </c>
      <c r="F55" s="60">
        <v>0</v>
      </c>
      <c r="G55" s="59">
        <v>2.7E-4</v>
      </c>
      <c r="H55" s="59">
        <v>0.25</v>
      </c>
      <c r="I55" s="59">
        <v>0</v>
      </c>
      <c r="J55" s="61" t="b">
        <v>1</v>
      </c>
      <c r="K55" s="61" t="b">
        <v>1</v>
      </c>
      <c r="L55" s="61" t="b">
        <v>1</v>
      </c>
    </row>
    <row r="56" spans="1:12" x14ac:dyDescent="0.35">
      <c r="A56" s="61" t="s">
        <v>17</v>
      </c>
      <c r="B56" s="26" t="s">
        <v>14</v>
      </c>
      <c r="C56" s="26" t="s">
        <v>15</v>
      </c>
      <c r="D56" s="26" t="s">
        <v>13</v>
      </c>
      <c r="E56" s="27" t="s">
        <v>13</v>
      </c>
      <c r="F56" s="52">
        <v>7.0000000000000007E-2</v>
      </c>
      <c r="G56" s="51">
        <v>8.5000000000000006E-2</v>
      </c>
      <c r="H56" s="51">
        <v>0.26</v>
      </c>
      <c r="I56" s="51">
        <v>1.5E-10</v>
      </c>
      <c r="J56" s="27" t="b">
        <v>1</v>
      </c>
      <c r="K56" s="77" t="b">
        <v>1</v>
      </c>
      <c r="L56" s="77" t="b">
        <v>1</v>
      </c>
    </row>
    <row r="57" spans="1:12" x14ac:dyDescent="0.35">
      <c r="A57" s="61" t="s">
        <v>17</v>
      </c>
      <c r="B57" s="26" t="s">
        <v>14</v>
      </c>
      <c r="C57" s="26" t="s">
        <v>14</v>
      </c>
      <c r="D57" s="26" t="s">
        <v>13</v>
      </c>
      <c r="E57" s="27" t="s">
        <v>13</v>
      </c>
      <c r="F57" s="28">
        <v>7.0000000000000007E-2</v>
      </c>
      <c r="G57" s="46">
        <v>0.17</v>
      </c>
      <c r="H57" s="29">
        <v>0.26</v>
      </c>
      <c r="I57" s="30">
        <v>1.5E-10</v>
      </c>
      <c r="J57" s="27" t="b">
        <v>1</v>
      </c>
      <c r="K57" s="77" t="b">
        <v>1</v>
      </c>
      <c r="L57" s="77" t="b">
        <v>1</v>
      </c>
    </row>
    <row r="58" spans="1:12" x14ac:dyDescent="0.35">
      <c r="A58" s="26" t="s">
        <v>17</v>
      </c>
      <c r="B58" s="26" t="s">
        <v>14</v>
      </c>
      <c r="C58" s="26" t="s">
        <v>13</v>
      </c>
      <c r="D58" s="26" t="s">
        <v>13</v>
      </c>
      <c r="E58" s="27" t="s">
        <v>15</v>
      </c>
      <c r="F58" s="60">
        <v>0</v>
      </c>
      <c r="G58" s="84">
        <v>2.0000000000000001E-4</v>
      </c>
      <c r="H58" s="59">
        <v>0.25</v>
      </c>
      <c r="I58" s="59">
        <v>0</v>
      </c>
      <c r="J58" s="61" t="b">
        <v>1</v>
      </c>
      <c r="K58" s="61" t="b">
        <v>1</v>
      </c>
      <c r="L58" s="61" t="b">
        <v>1</v>
      </c>
    </row>
    <row r="59" spans="1:12" x14ac:dyDescent="0.35">
      <c r="A59" s="26" t="s">
        <v>17</v>
      </c>
      <c r="B59" t="s">
        <v>14</v>
      </c>
      <c r="C59" t="s">
        <v>15</v>
      </c>
      <c r="D59" t="s">
        <v>13</v>
      </c>
      <c r="E59" s="62" t="s">
        <v>15</v>
      </c>
      <c r="F59" s="52">
        <v>7.0000000000000007E-2</v>
      </c>
      <c r="G59" s="51">
        <v>7.0000000000000007E-2</v>
      </c>
      <c r="H59" s="51">
        <v>0.26</v>
      </c>
      <c r="I59" s="51">
        <v>1.5E-10</v>
      </c>
      <c r="J59" s="27" t="b">
        <v>1</v>
      </c>
      <c r="K59" s="77" t="b">
        <v>1</v>
      </c>
      <c r="L59" s="77" t="b">
        <v>1</v>
      </c>
    </row>
    <row r="60" spans="1:12" x14ac:dyDescent="0.35">
      <c r="A60" s="26" t="s">
        <v>17</v>
      </c>
      <c r="B60" s="26" t="s">
        <v>14</v>
      </c>
      <c r="C60" s="26" t="s">
        <v>14</v>
      </c>
      <c r="D60" s="26" t="s">
        <v>13</v>
      </c>
      <c r="E60" s="27" t="s">
        <v>15</v>
      </c>
      <c r="F60" s="28">
        <v>7.0000000000000007E-2</v>
      </c>
      <c r="G60" s="29">
        <v>0.14000000000000001</v>
      </c>
      <c r="H60" s="29">
        <v>0.26</v>
      </c>
      <c r="I60" s="30">
        <v>1.5E-10</v>
      </c>
      <c r="J60" s="27" t="b">
        <v>1</v>
      </c>
      <c r="K60" s="77" t="b">
        <v>1</v>
      </c>
      <c r="L60" s="77" t="b">
        <v>1</v>
      </c>
    </row>
    <row r="61" spans="1:12" x14ac:dyDescent="0.35">
      <c r="A61" s="26" t="s">
        <v>17</v>
      </c>
      <c r="B61" s="26" t="s">
        <v>14</v>
      </c>
      <c r="C61" s="26" t="s">
        <v>13</v>
      </c>
      <c r="D61" s="26" t="s">
        <v>13</v>
      </c>
      <c r="E61" s="27" t="s">
        <v>14</v>
      </c>
      <c r="F61" s="60">
        <v>0</v>
      </c>
      <c r="G61" s="85">
        <v>1.2E-4</v>
      </c>
      <c r="H61" s="59">
        <v>0.25</v>
      </c>
      <c r="I61" s="59">
        <v>0</v>
      </c>
      <c r="J61" s="61" t="b">
        <v>1</v>
      </c>
      <c r="K61" s="61" t="b">
        <v>1</v>
      </c>
      <c r="L61" s="61" t="b">
        <v>1</v>
      </c>
    </row>
    <row r="62" spans="1:12" x14ac:dyDescent="0.35">
      <c r="A62" t="s">
        <v>17</v>
      </c>
      <c r="B62" t="s">
        <v>14</v>
      </c>
      <c r="C62" t="s">
        <v>15</v>
      </c>
      <c r="D62" t="s">
        <v>13</v>
      </c>
      <c r="E62" s="62" t="s">
        <v>14</v>
      </c>
      <c r="F62" s="52">
        <v>7.0000000000000007E-2</v>
      </c>
      <c r="G62" s="51">
        <v>0.05</v>
      </c>
      <c r="H62" s="51">
        <v>0.26</v>
      </c>
      <c r="I62" s="51">
        <v>1.5E-10</v>
      </c>
      <c r="J62" s="27" t="b">
        <v>1</v>
      </c>
      <c r="K62" s="77" t="b">
        <v>1</v>
      </c>
      <c r="L62" s="77" t="b">
        <v>1</v>
      </c>
    </row>
    <row r="63" spans="1:12" x14ac:dyDescent="0.35">
      <c r="A63" s="26" t="s">
        <v>17</v>
      </c>
      <c r="B63" s="26" t="s">
        <v>14</v>
      </c>
      <c r="C63" s="26" t="s">
        <v>14</v>
      </c>
      <c r="D63" s="26" t="s">
        <v>13</v>
      </c>
      <c r="E63" s="27" t="s">
        <v>14</v>
      </c>
      <c r="F63" s="28">
        <v>7.0000000000000007E-2</v>
      </c>
      <c r="G63" s="39">
        <v>0.1</v>
      </c>
      <c r="H63" s="29">
        <v>0.26</v>
      </c>
      <c r="I63" s="30">
        <v>1.5E-10</v>
      </c>
      <c r="J63" s="62" t="b">
        <v>1</v>
      </c>
      <c r="K63" s="77" t="b">
        <v>1</v>
      </c>
      <c r="L63" s="77" t="b">
        <v>1</v>
      </c>
    </row>
    <row r="64" spans="1:12" x14ac:dyDescent="0.35">
      <c r="A64" s="26" t="s">
        <v>17</v>
      </c>
      <c r="B64" s="26" t="s">
        <v>14</v>
      </c>
      <c r="C64" s="26" t="s">
        <v>13</v>
      </c>
      <c r="D64" s="26" t="s">
        <v>13</v>
      </c>
      <c r="E64" s="27" t="s">
        <v>16</v>
      </c>
      <c r="F64" s="60">
        <v>0</v>
      </c>
      <c r="G64" s="87">
        <v>9.0000000000000006E-5</v>
      </c>
      <c r="H64" s="87">
        <v>0.25</v>
      </c>
      <c r="I64" s="59">
        <v>0</v>
      </c>
      <c r="J64" s="61" t="b">
        <v>1</v>
      </c>
      <c r="K64" s="61" t="b">
        <v>1</v>
      </c>
      <c r="L64" s="61" t="b">
        <v>1</v>
      </c>
    </row>
    <row r="65" spans="1:12" x14ac:dyDescent="0.35">
      <c r="A65" t="s">
        <v>17</v>
      </c>
      <c r="B65" t="s">
        <v>14</v>
      </c>
      <c r="C65" t="s">
        <v>15</v>
      </c>
      <c r="D65" t="s">
        <v>13</v>
      </c>
      <c r="E65" s="62" t="s">
        <v>16</v>
      </c>
      <c r="F65" s="52">
        <v>7.0000000000000007E-2</v>
      </c>
      <c r="G65" s="51">
        <v>0.04</v>
      </c>
      <c r="H65" s="51">
        <v>0.26</v>
      </c>
      <c r="I65" s="51">
        <v>1.5E-10</v>
      </c>
      <c r="J65" s="62" t="b">
        <v>1</v>
      </c>
      <c r="K65" s="77" t="b">
        <v>1</v>
      </c>
      <c r="L65" s="77" t="b">
        <v>1</v>
      </c>
    </row>
    <row r="66" spans="1:12" x14ac:dyDescent="0.35">
      <c r="A66" s="26" t="s">
        <v>17</v>
      </c>
      <c r="B66" s="26" t="s">
        <v>14</v>
      </c>
      <c r="C66" s="26" t="s">
        <v>14</v>
      </c>
      <c r="D66" s="26" t="s">
        <v>13</v>
      </c>
      <c r="E66" s="27" t="s">
        <v>16</v>
      </c>
      <c r="F66" s="28">
        <v>7.0000000000000007E-2</v>
      </c>
      <c r="G66" s="29">
        <v>0.08</v>
      </c>
      <c r="H66" s="29">
        <v>0.26</v>
      </c>
      <c r="I66" s="30">
        <v>1.5E-10</v>
      </c>
      <c r="J66" s="62" t="b">
        <v>1</v>
      </c>
      <c r="K66" s="77" t="b">
        <v>1</v>
      </c>
      <c r="L66" s="77" t="b">
        <v>1</v>
      </c>
    </row>
    <row r="67" spans="1:12" x14ac:dyDescent="0.35">
      <c r="A67" s="65" t="s">
        <v>17</v>
      </c>
      <c r="B67" s="65" t="s">
        <v>18</v>
      </c>
      <c r="C67" s="67" t="s">
        <v>13</v>
      </c>
      <c r="D67" s="65" t="s">
        <v>13</v>
      </c>
      <c r="E67" s="66" t="s">
        <v>13</v>
      </c>
      <c r="F67" s="60">
        <v>0</v>
      </c>
      <c r="G67" s="87">
        <v>5.1500000000000005E-4</v>
      </c>
      <c r="H67" s="59">
        <v>0.25</v>
      </c>
      <c r="I67" s="59">
        <v>0</v>
      </c>
      <c r="J67" s="61" t="b">
        <v>1</v>
      </c>
      <c r="K67" s="61" t="b">
        <v>1</v>
      </c>
      <c r="L67" s="61" t="b">
        <v>1</v>
      </c>
    </row>
    <row r="68" spans="1:12" x14ac:dyDescent="0.35">
      <c r="A68" s="61" t="s">
        <v>17</v>
      </c>
      <c r="B68" s="61" t="s">
        <v>18</v>
      </c>
      <c r="C68" s="61" t="s">
        <v>15</v>
      </c>
      <c r="D68" s="61" t="s">
        <v>13</v>
      </c>
      <c r="E68" s="62" t="s">
        <v>13</v>
      </c>
      <c r="F68" s="52">
        <v>7.0000000000000007E-2</v>
      </c>
      <c r="G68" s="86">
        <v>0.15</v>
      </c>
      <c r="H68" s="51">
        <v>0.26</v>
      </c>
      <c r="I68" s="51">
        <v>1.5E-10</v>
      </c>
      <c r="J68" s="61" t="b">
        <v>1</v>
      </c>
      <c r="K68" s="61" t="b">
        <v>1</v>
      </c>
      <c r="L68" s="61" t="b">
        <v>1</v>
      </c>
    </row>
    <row r="69" spans="1:12" x14ac:dyDescent="0.35">
      <c r="A69" s="61" t="s">
        <v>17</v>
      </c>
      <c r="B69" s="61" t="s">
        <v>18</v>
      </c>
      <c r="C69" s="61" t="s">
        <v>14</v>
      </c>
      <c r="D69" s="61" t="s">
        <v>13</v>
      </c>
      <c r="E69" s="62" t="s">
        <v>13</v>
      </c>
      <c r="F69" s="28">
        <v>7.0000000000000007E-2</v>
      </c>
      <c r="G69" s="46">
        <v>0.32</v>
      </c>
      <c r="H69" s="38">
        <v>0.26</v>
      </c>
      <c r="I69" s="30">
        <v>1.5E-10</v>
      </c>
      <c r="J69" s="61" t="b">
        <v>1</v>
      </c>
      <c r="K69" s="61" t="b">
        <v>1</v>
      </c>
      <c r="L69" s="61" t="b">
        <v>1</v>
      </c>
    </row>
    <row r="70" spans="1:12" x14ac:dyDescent="0.35">
      <c r="A70" s="61" t="s">
        <v>17</v>
      </c>
      <c r="B70" s="61" t="s">
        <v>18</v>
      </c>
      <c r="C70" s="41" t="s">
        <v>13</v>
      </c>
      <c r="D70" s="61" t="s">
        <v>13</v>
      </c>
      <c r="E70" s="62" t="s">
        <v>15</v>
      </c>
      <c r="F70" s="60">
        <v>0</v>
      </c>
      <c r="G70" s="87">
        <v>3.8000000000000002E-4</v>
      </c>
      <c r="H70" s="59">
        <v>0.25</v>
      </c>
      <c r="I70" s="59">
        <v>0</v>
      </c>
      <c r="J70" s="61" t="b">
        <v>1</v>
      </c>
      <c r="K70" s="61" t="b">
        <v>1</v>
      </c>
      <c r="L70" s="61" t="b">
        <v>1</v>
      </c>
    </row>
    <row r="71" spans="1:12" x14ac:dyDescent="0.35">
      <c r="A71" s="61" t="s">
        <v>17</v>
      </c>
      <c r="B71" s="61" t="s">
        <v>18</v>
      </c>
      <c r="C71" s="61" t="s">
        <v>15</v>
      </c>
      <c r="D71" s="61" t="s">
        <v>13</v>
      </c>
      <c r="E71" s="62" t="s">
        <v>15</v>
      </c>
      <c r="F71" s="52">
        <v>7.0000000000000007E-2</v>
      </c>
      <c r="G71" s="86">
        <v>0.125</v>
      </c>
      <c r="H71" s="51">
        <v>0.26</v>
      </c>
      <c r="I71" s="51">
        <v>1.5E-10</v>
      </c>
      <c r="J71" s="61" t="b">
        <v>1</v>
      </c>
      <c r="K71" s="61" t="b">
        <v>1</v>
      </c>
      <c r="L71" s="61" t="b">
        <v>1</v>
      </c>
    </row>
    <row r="72" spans="1:12" x14ac:dyDescent="0.35">
      <c r="A72" s="61" t="s">
        <v>17</v>
      </c>
      <c r="B72" s="61" t="s">
        <v>18</v>
      </c>
      <c r="C72" s="61" t="s">
        <v>14</v>
      </c>
      <c r="D72" s="61" t="s">
        <v>13</v>
      </c>
      <c r="E72" s="62" t="s">
        <v>15</v>
      </c>
      <c r="F72" s="28">
        <v>7.0000000000000007E-2</v>
      </c>
      <c r="G72" s="38">
        <v>0.24</v>
      </c>
      <c r="H72" s="38">
        <v>0.26</v>
      </c>
      <c r="I72" s="30">
        <v>1.5E-10</v>
      </c>
      <c r="J72" s="61" t="b">
        <v>1</v>
      </c>
      <c r="K72" s="61" t="b">
        <v>1</v>
      </c>
      <c r="L72" s="61" t="b">
        <v>1</v>
      </c>
    </row>
    <row r="73" spans="1:12" x14ac:dyDescent="0.35">
      <c r="A73" s="61" t="s">
        <v>17</v>
      </c>
      <c r="B73" s="61" t="s">
        <v>18</v>
      </c>
      <c r="C73" s="41" t="s">
        <v>13</v>
      </c>
      <c r="D73" s="61" t="s">
        <v>13</v>
      </c>
      <c r="E73" s="62" t="s">
        <v>14</v>
      </c>
      <c r="F73" s="87">
        <v>0</v>
      </c>
      <c r="G73" s="87">
        <v>1.75E-4</v>
      </c>
      <c r="H73" s="59">
        <v>0.25</v>
      </c>
      <c r="I73" s="59">
        <v>0</v>
      </c>
      <c r="J73" s="61" t="b">
        <v>1</v>
      </c>
      <c r="K73" s="61" t="b">
        <v>1</v>
      </c>
      <c r="L73" s="61" t="b">
        <v>1</v>
      </c>
    </row>
    <row r="74" spans="1:12" x14ac:dyDescent="0.35">
      <c r="A74" s="61" t="s">
        <v>17</v>
      </c>
      <c r="B74" s="61" t="s">
        <v>18</v>
      </c>
      <c r="C74" s="61" t="s">
        <v>15</v>
      </c>
      <c r="D74" s="61" t="s">
        <v>13</v>
      </c>
      <c r="E74" s="62" t="s">
        <v>14</v>
      </c>
      <c r="F74" s="52">
        <v>7.0000000000000007E-2</v>
      </c>
      <c r="G74" s="86">
        <v>6.5000000000000002E-2</v>
      </c>
      <c r="H74" s="51">
        <v>0.26</v>
      </c>
      <c r="I74" s="51">
        <v>1.5E-10</v>
      </c>
      <c r="J74" s="61" t="b">
        <v>1</v>
      </c>
      <c r="K74" s="61" t="b">
        <v>1</v>
      </c>
      <c r="L74" s="61" t="b">
        <v>1</v>
      </c>
    </row>
    <row r="75" spans="1:12" x14ac:dyDescent="0.35">
      <c r="A75" s="61" t="s">
        <v>17</v>
      </c>
      <c r="B75" s="61" t="s">
        <v>18</v>
      </c>
      <c r="C75" s="61" t="s">
        <v>14</v>
      </c>
      <c r="D75" s="61" t="s">
        <v>13</v>
      </c>
      <c r="E75" s="62" t="s">
        <v>14</v>
      </c>
      <c r="F75" s="28">
        <v>7.0000000000000007E-2</v>
      </c>
      <c r="G75" s="39">
        <v>0.13</v>
      </c>
      <c r="H75" s="38">
        <v>0.26</v>
      </c>
      <c r="I75" s="30">
        <v>1.5E-10</v>
      </c>
      <c r="J75" s="61" t="b">
        <v>1</v>
      </c>
      <c r="K75" s="61" t="b">
        <v>1</v>
      </c>
      <c r="L75" s="61" t="b">
        <v>1</v>
      </c>
    </row>
    <row r="76" spans="1:12" x14ac:dyDescent="0.35">
      <c r="A76" s="61" t="s">
        <v>17</v>
      </c>
      <c r="B76" s="61" t="s">
        <v>18</v>
      </c>
      <c r="C76" s="41" t="s">
        <v>13</v>
      </c>
      <c r="D76" s="61" t="s">
        <v>13</v>
      </c>
      <c r="E76" s="62" t="s">
        <v>16</v>
      </c>
      <c r="F76" s="60">
        <v>0</v>
      </c>
      <c r="G76" s="87">
        <v>9.3999999999999994E-5</v>
      </c>
      <c r="H76" s="87">
        <v>0.25</v>
      </c>
      <c r="I76" s="59">
        <v>0</v>
      </c>
      <c r="J76" s="61" t="b">
        <v>1</v>
      </c>
      <c r="K76" s="61" t="b">
        <v>1</v>
      </c>
      <c r="L76" s="61" t="b">
        <v>1</v>
      </c>
    </row>
    <row r="77" spans="1:12" x14ac:dyDescent="0.35">
      <c r="A77" s="61" t="s">
        <v>17</v>
      </c>
      <c r="B77" s="61" t="s">
        <v>18</v>
      </c>
      <c r="C77" s="61" t="s">
        <v>15</v>
      </c>
      <c r="D77" s="61" t="s">
        <v>13</v>
      </c>
      <c r="E77" s="62" t="s">
        <v>16</v>
      </c>
      <c r="F77" s="52">
        <v>7.0000000000000007E-2</v>
      </c>
      <c r="G77" s="86">
        <v>4.4999999999999998E-2</v>
      </c>
      <c r="H77" s="51">
        <v>0.26</v>
      </c>
      <c r="I77" s="51">
        <v>1.5E-10</v>
      </c>
      <c r="J77" s="61" t="b">
        <v>1</v>
      </c>
      <c r="K77" s="61" t="b">
        <v>1</v>
      </c>
      <c r="L77" s="61" t="b">
        <v>1</v>
      </c>
    </row>
    <row r="78" spans="1:12" x14ac:dyDescent="0.35">
      <c r="A78" s="61" t="s">
        <v>17</v>
      </c>
      <c r="B78" s="61" t="s">
        <v>18</v>
      </c>
      <c r="C78" s="61" t="s">
        <v>14</v>
      </c>
      <c r="D78" s="61" t="s">
        <v>13</v>
      </c>
      <c r="E78" s="62" t="s">
        <v>16</v>
      </c>
      <c r="F78" s="28">
        <v>7.0000000000000007E-2</v>
      </c>
      <c r="G78" s="38">
        <v>8.5000000000000006E-2</v>
      </c>
      <c r="H78" s="38">
        <v>0.26</v>
      </c>
      <c r="I78" s="30">
        <v>1.5E-10</v>
      </c>
      <c r="J78" s="61" t="b">
        <v>1</v>
      </c>
      <c r="K78" s="61" t="b">
        <v>1</v>
      </c>
      <c r="L78" s="61" t="b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Prkacin</dc:creator>
  <cp:lastModifiedBy>Pia Prkacin</cp:lastModifiedBy>
  <dcterms:created xsi:type="dcterms:W3CDTF">2025-06-28T21:42:32Z</dcterms:created>
  <dcterms:modified xsi:type="dcterms:W3CDTF">2025-10-13T20:08:13Z</dcterms:modified>
</cp:coreProperties>
</file>